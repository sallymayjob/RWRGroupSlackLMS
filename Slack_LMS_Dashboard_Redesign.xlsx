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ique" sheetId="1" state="visible" r:id="rId3"/>
    <sheet name="Command Center" sheetId="2" state="visible" r:id="rId4"/>
    <sheet name="Learners" sheetId="3" state="visible" r:id="rId5"/>
    <sheet name="Progress" sheetId="4" state="visible" r:id="rId6"/>
    <sheet name="Content" sheetId="5" state="visible" r:id="rId7"/>
    <sheet name="Field Mapp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<sst xmlns="http://schemas.openxmlformats.org/spreadsheetml/2006/main" count="454" uniqueCount="272">
  <si>
    <t xml:space="preserve">DASHBOARD CSV — CRITIQUE</t>
  </si>
  <si>
    <t xml:space="preserve">10 issues found. Everything below explains what's wrong and why.</t>
  </si>
  <si>
    <t xml:space="preserve">#</t>
  </si>
  <si>
    <t xml:space="preserve">ISSUE</t>
  </si>
  <si>
    <t xml:space="preserve">SEVERITY</t>
  </si>
  <si>
    <t xml:space="preserve">1. Course codes don't exist in the architecture</t>
  </si>
  <si>
    <t xml:space="preserve">FATAL</t>
  </si>
  <si>
    <t xml:space="preserve">OPS101 and SALES201 are placeholder codes. The architecture uses COURSE_12M for the 12-month RWR program. These courses have no relationship to the Notion Courses DB, the Firestore data model, or any real curriculum.</t>
  </si>
  <si>
    <t xml:space="preserve">2. No month/module tracking</t>
  </si>
  <si>
    <t xml:space="preserve">The dashboard tracks 'Progress Percent' as a flat decimal (0.1 = 10%). But the system tracks current_month (1-12) and current_module (0-3). A learner at 10% could be in Month 1 Week 4 or Month 2 Week 1 — the dashboard can't tell you.</t>
  </si>
  <si>
    <t xml:space="preserve">3. Course Enrollment Breakdown appears THREE times</t>
  </si>
  <si>
    <t xml:space="preserve">Rows 13-16, 18-21, and 25-27 contain the same table with slightly different columns. This is copy-paste dashboard building — guaranteed to desync when one gets updated and the others don't.</t>
  </si>
  <si>
    <t xml:space="preserve">4. Dashboard is a visual layout, not a data model</t>
  </si>
  <si>
    <t xml:space="preserve">CRITICAL</t>
  </si>
  <si>
    <t xml:space="preserve">The CSV has data scattered across 26 columns with empty cells used as spacers. KPIs live in unlabeled cells (row 5: '2', '2', '2' — what are these?). This is a Google Sheets visual dashboard exported as CSV. It has no queryable structure.</t>
  </si>
  <si>
    <t xml:space="preserve">5. 'Computed Status' has no rules</t>
  </si>
  <si>
    <t xml:space="preserve">Juan is 'Behind' at 10% with last activity Jan 12. Maria is 'Completed' at 8.3% with last activity Jan 18. How is 8.3% complete? The status logic is either broken or manually overridden, making it worthless for automation.</t>
  </si>
  <si>
    <t xml:space="preserve">6. Only 2 learners — not stress-testable</t>
  </si>
  <si>
    <t xml:space="preserve">The architecture targets 50 users across a 12-month course. A dashboard with 2 learners on toy courses tells you nothing about whether the system scales. No cohort view, no month distribution, no inactivity detection.</t>
  </si>
  <si>
    <t xml:space="preserve">7. Filter dropdowns exported as data ('All, All, All')</t>
  </si>
  <si>
    <t xml:space="preserve">MAJOR</t>
  </si>
  <si>
    <t xml:space="preserve">Rows 23-24 contain filter UI elements that got exported. These are Google Sheets artifacts, not data. They pollute the CSV and break any automated parsing.</t>
  </si>
  <si>
    <t xml:space="preserve">8. No connection to Firestore fields</t>
  </si>
  <si>
    <t xml:space="preserve">The Firestore data model stores: user_id, course_id, status, current_month, current_module, last_activity_at. The dashboard tracks: Employee Full Name, Course Name, Progress Percent, Last Activity Date, Computed Status. Different names, different structures, no mapping.</t>
  </si>
  <si>
    <t xml:space="preserve">9. No Slack channel or thread tracking</t>
  </si>
  <si>
    <t xml:space="preserve">MINOR</t>
  </si>
  <si>
    <t xml:space="preserve">The dashboard should show which Slack channel each learner is in and their last interaction. Without this, admins can't debug delivery issues.</t>
  </si>
  <si>
    <t xml:space="preserve">10. No content readiness view</t>
  </si>
  <si>
    <t xml:space="preserve">The dashboard tracks learner progress but has zero visibility into whether content is ready. If Month 4 has 0 lessons written and a learner is about to reach it, nobody gets warned.</t>
  </si>
  <si>
    <t xml:space="preserve">VERDICT: Scrap this dashboard entirely. Redesign from the data model up.</t>
  </si>
  <si>
    <t xml:space="preserve">SLACK LMS — COMMAND CENTER</t>
  </si>
  <si>
    <t xml:space="preserve">Live operations dashboard. All numbers derived from Learners + Progress sheets.</t>
  </si>
  <si>
    <t xml:space="preserve">4 of 12</t>
  </si>
  <si>
    <t xml:space="preserve">Total Learners</t>
  </si>
  <si>
    <t xml:space="preserve">Active</t>
  </si>
  <si>
    <t xml:space="preserve">Paused</t>
  </si>
  <si>
    <t xml:space="preserve">Withdrawn</t>
  </si>
  <si>
    <t xml:space="preserve">Avg Month</t>
  </si>
  <si>
    <t xml:space="preserve">At Risk (14d+)</t>
  </si>
  <si>
    <t xml:space="preserve">Content Ready</t>
  </si>
  <si>
    <t xml:space="preserve">LEARNER DISTRIBUTION BY MONTH</t>
  </si>
  <si>
    <t xml:space="preserve">Month</t>
  </si>
  <si>
    <t xml:space="preserve">Learners</t>
  </si>
  <si>
    <t xml:space="preserve">On Track</t>
  </si>
  <si>
    <t xml:space="preserve">Behind</t>
  </si>
  <si>
    <t xml:space="preserve">Content Status</t>
  </si>
  <si>
    <t xml:space="preserve">Alert</t>
  </si>
  <si>
    <t xml:space="preserve">Month 1</t>
  </si>
  <si>
    <t xml:space="preserve">Ready</t>
  </si>
  <si>
    <t xml:space="preserve">—</t>
  </si>
  <si>
    <t xml:space="preserve">Month 2</t>
  </si>
  <si>
    <t xml:space="preserve">Month 3</t>
  </si>
  <si>
    <t xml:space="preserve">Month 4</t>
  </si>
  <si>
    <t xml:space="preserve">Month 5</t>
  </si>
  <si>
    <t xml:space="preserve">Writing</t>
  </si>
  <si>
    <t xml:space="preserve">📝 In progress</t>
  </si>
  <si>
    <t xml:space="preserve">Month 6</t>
  </si>
  <si>
    <t xml:space="preserve">Month 7</t>
  </si>
  <si>
    <t xml:space="preserve">Empty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</si>
  <si>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</si>
  <si>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</si>
  <si>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</si>
  <si>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</si>
  <si>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</si>
  <si>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COHORT BREAKDOWN</t>
  </si>
  <si>
    <t xml:space="preserve">Cohort</t>
  </si>
  <si>
    <t xml:space="preserve">Enrolled</t>
  </si>
  <si>
    <t xml:space="preserve">Completion Rate</t>
  </si>
  <si>
    <t xml:space="preserve">Cohort A (2025-11-01)</t>
  </si>
  <si>
    <t xml:space="preserve">Cohort B (2025-12-01)</t>
  </si>
  <si>
    <t xml:space="preserve">Cohort C (2026-01-06)</t>
  </si>
  <si>
    <t xml:space="preserve">user_id</t>
  </si>
  <si>
    <t xml:space="preserve">full_name</t>
  </si>
  <si>
    <t xml:space="preserve">course_id</t>
  </si>
  <si>
    <t xml:space="preserve">status</t>
  </si>
  <si>
    <t xml:space="preserve">current_month</t>
  </si>
  <si>
    <t xml:space="preserve">current_module</t>
  </si>
  <si>
    <t xml:space="preserve">started_at</t>
  </si>
  <si>
    <t xml:space="preserve">last_activity_at</t>
  </si>
  <si>
    <t xml:space="preserve">days_inactive</t>
  </si>
  <si>
    <t xml:space="preserve">slack_channel</t>
  </si>
  <si>
    <t xml:space="preserve">enrollment_type</t>
  </si>
  <si>
    <t xml:space="preserve">U001</t>
  </si>
  <si>
    <t xml:space="preserve">Juan Dela Cruz</t>
  </si>
  <si>
    <t xml:space="preserve">COURSE_12M</t>
  </si>
  <si>
    <t xml:space="preserve">active</t>
  </si>
  <si>
    <t xml:space="preserve">2025-11-01</t>
  </si>
  <si>
    <t xml:space="preserve">2026-02-07</t>
  </si>
  <si>
    <t xml:space="preserve">#rwr-month3</t>
  </si>
  <si>
    <t xml:space="preserve">Cohort A</t>
  </si>
  <si>
    <t xml:space="preserve">U002</t>
  </si>
  <si>
    <t xml:space="preserve">Maria Santos</t>
  </si>
  <si>
    <t xml:space="preserve">2026-02-09</t>
  </si>
  <si>
    <t xml:space="preserve">U003</t>
  </si>
  <si>
    <t xml:space="preserve">Carlos Rivera</t>
  </si>
  <si>
    <t xml:space="preserve">2025-12-01</t>
  </si>
  <si>
    <t xml:space="preserve">2026-02-05</t>
  </si>
  <si>
    <t xml:space="preserve">#rwr-month2</t>
  </si>
  <si>
    <t xml:space="preserve">Cohort B</t>
  </si>
  <si>
    <t xml:space="preserve">U004</t>
  </si>
  <si>
    <t xml:space="preserve">Ana Garcia</t>
  </si>
  <si>
    <t xml:space="preserve">paused</t>
  </si>
  <si>
    <t xml:space="preserve">2026-01-20</t>
  </si>
  <si>
    <t xml:space="preserve">U005</t>
  </si>
  <si>
    <t xml:space="preserve">Pedro Morales</t>
  </si>
  <si>
    <t xml:space="preserve">2026-01-06</t>
  </si>
  <si>
    <t xml:space="preserve">2026-02-08</t>
  </si>
  <si>
    <t xml:space="preserve">#rwr-month1</t>
  </si>
  <si>
    <t xml:space="preserve">Cohort C</t>
  </si>
  <si>
    <t xml:space="preserve">U006</t>
  </si>
  <si>
    <t xml:space="preserve">Sofia Reyes</t>
  </si>
  <si>
    <t xml:space="preserve">2026-02-06</t>
  </si>
  <si>
    <t xml:space="preserve">U007</t>
  </si>
  <si>
    <t xml:space="preserve">Miguel Torres</t>
  </si>
  <si>
    <t xml:space="preserve">withdrawn</t>
  </si>
  <si>
    <t xml:space="preserve">2026-01-25</t>
  </si>
  <si>
    <t xml:space="preserve">U008</t>
  </si>
  <si>
    <t xml:space="preserve">Isabella Cruz</t>
  </si>
  <si>
    <t xml:space="preserve">2025-10-01</t>
  </si>
  <si>
    <t xml:space="preserve">#rwr-month4</t>
  </si>
  <si>
    <t xml:space="preserve">month</t>
  </si>
  <si>
    <t xml:space="preserve">module_id</t>
  </si>
  <si>
    <t xml:space="preserve">completed</t>
  </si>
  <si>
    <t xml:space="preserve">evidence_url</t>
  </si>
  <si>
    <t xml:space="preserve">reflection_text</t>
  </si>
  <si>
    <t xml:space="preserve">submitted_at</t>
  </si>
  <si>
    <t xml:space="preserve">M01-W1</t>
  </si>
  <si>
    <t xml:space="preserve">✅ TRUE</t>
  </si>
  <si>
    <t xml:space="preserve">Good foundation lesson</t>
  </si>
  <si>
    <t xml:space="preserve">2025-11-05</t>
  </si>
  <si>
    <t xml:space="preserve">M01-W2</t>
  </si>
  <si>
    <t xml:space="preserve">Understood sourcing basics</t>
  </si>
  <si>
    <t xml:space="preserve">2025-11-12</t>
  </si>
  <si>
    <t xml:space="preserve">M01-W3</t>
  </si>
  <si>
    <t xml:space="preserve">Applied Boolean search</t>
  </si>
  <si>
    <t xml:space="preserve">2025-11-19</t>
  </si>
  <si>
    <t xml:space="preserve">M01-W4</t>
  </si>
  <si>
    <t xml:space="preserve">Completed first mock search</t>
  </si>
  <si>
    <t xml:space="preserve">2025-11-26</t>
  </si>
  <si>
    <t xml:space="preserve">M02-W1</t>
  </si>
  <si>
    <t xml:space="preserve">Client intake process clear</t>
  </si>
  <si>
    <t xml:space="preserve">2025-12-03</t>
  </si>
  <si>
    <t xml:space="preserve">M02-W2</t>
  </si>
  <si>
    <t xml:space="preserve">Practiced job spec writing</t>
  </si>
  <si>
    <t xml:space="preserve">2025-12-10</t>
  </si>
  <si>
    <t xml:space="preserve">M02-W3</t>
  </si>
  <si>
    <t xml:space="preserve">Good screening framework</t>
  </si>
  <si>
    <t xml:space="preserve">2025-12-17</t>
  </si>
  <si>
    <t xml:space="preserve">M02-W4</t>
  </si>
  <si>
    <t xml:space="preserve">Phone screen simulation done</t>
  </si>
  <si>
    <t xml:space="preserve">2025-12-24</t>
  </si>
  <si>
    <t xml:space="preserve">M03-W1</t>
  </si>
  <si>
    <t xml:space="preserve">Candidate pipeline building</t>
  </si>
  <si>
    <t xml:space="preserve">2026-01-07</t>
  </si>
  <si>
    <t xml:space="preserve">M03-W2</t>
  </si>
  <si>
    <t xml:space="preserve">⬜ FALSE</t>
  </si>
  <si>
    <t xml:space="preserve">Great start</t>
  </si>
  <si>
    <t xml:space="preserve">2025-11-04</t>
  </si>
  <si>
    <t xml:space="preserve">Loved the prompt exercises</t>
  </si>
  <si>
    <t xml:space="preserve">2025-11-11</t>
  </si>
  <si>
    <t xml:space="preserve">Boolean is powerful</t>
  </si>
  <si>
    <t xml:space="preserve">2025-11-18</t>
  </si>
  <si>
    <t xml:space="preserve">Mock search went well</t>
  </si>
  <si>
    <t xml:space="preserve">2025-11-25</t>
  </si>
  <si>
    <t xml:space="preserve">Client mgmt module useful</t>
  </si>
  <si>
    <t xml:space="preserve">2025-12-02</t>
  </si>
  <si>
    <t xml:space="preserve">JD templates helpful</t>
  </si>
  <si>
    <t xml:space="preserve">2025-12-09</t>
  </si>
  <si>
    <t xml:space="preserve">Screening calls improved</t>
  </si>
  <si>
    <t xml:space="preserve">2025-12-16</t>
  </si>
  <si>
    <t xml:space="preserve">Completed all Month 2</t>
  </si>
  <si>
    <t xml:space="preserve">2025-12-23</t>
  </si>
  <si>
    <t xml:space="preserve">Pipeline strategies</t>
  </si>
  <si>
    <t xml:space="preserve">Outreach templates</t>
  </si>
  <si>
    <t xml:space="preserve">2026-01-13</t>
  </si>
  <si>
    <t xml:space="preserve">M03-W3</t>
  </si>
  <si>
    <t xml:space="preserve">Response rate tracking</t>
  </si>
  <si>
    <t xml:space="preserve">M03-W4</t>
  </si>
  <si>
    <t xml:space="preserve">Month 3 complete!</t>
  </si>
  <si>
    <t xml:space="preserve">2026-01-27</t>
  </si>
  <si>
    <t xml:space="preserve">Just starting out</t>
  </si>
  <si>
    <t xml:space="preserve">Getting the hang of it</t>
  </si>
  <si>
    <t xml:space="preserve">Boolean search practice</t>
  </si>
  <si>
    <t xml:space="preserve">Theme</t>
  </si>
  <si>
    <t xml:space="preserve">Total Lessons</t>
  </si>
  <si>
    <t xml:space="preserve">In Draft</t>
  </si>
  <si>
    <t xml:space="preserve">% Complete</t>
  </si>
  <si>
    <t xml:space="preserve">Weekly Hub</t>
  </si>
  <si>
    <t xml:space="preserve">Status</t>
  </si>
  <si>
    <t xml:space="preserve">M01</t>
  </si>
  <si>
    <t xml:space="preserve">Foundations of Recruiting</t>
  </si>
  <si>
    <t xml:space="preserve">✅ Created</t>
  </si>
  <si>
    <t xml:space="preserve">M02</t>
  </si>
  <si>
    <t xml:space="preserve">Sourcing Mastery</t>
  </si>
  <si>
    <t xml:space="preserve">M03</t>
  </si>
  <si>
    <t xml:space="preserve">Client Management</t>
  </si>
  <si>
    <t xml:space="preserve">In Progress</t>
  </si>
  <si>
    <t xml:space="preserve">M04</t>
  </si>
  <si>
    <t xml:space="preserve">Screening &amp; Assessment</t>
  </si>
  <si>
    <t xml:space="preserve">📝 Draft</t>
  </si>
  <si>
    <t xml:space="preserve">M05</t>
  </si>
  <si>
    <t xml:space="preserve">Pipeline Building</t>
  </si>
  <si>
    <t xml:space="preserve">M06</t>
  </si>
  <si>
    <t xml:space="preserve">Candidate Experience</t>
  </si>
  <si>
    <t xml:space="preserve">M07</t>
  </si>
  <si>
    <t xml:space="preserve">Negotiation &amp; Closing</t>
  </si>
  <si>
    <t xml:space="preserve">Not Started</t>
  </si>
  <si>
    <t xml:space="preserve">M08</t>
  </si>
  <si>
    <t xml:space="preserve">Account Management</t>
  </si>
  <si>
    <t xml:space="preserve">M09</t>
  </si>
  <si>
    <t xml:space="preserve">Advanced Sourcing</t>
  </si>
  <si>
    <t xml:space="preserve">M10</t>
  </si>
  <si>
    <t xml:space="preserve">Leadership &amp; Mentoring</t>
  </si>
  <si>
    <t xml:space="preserve">M11</t>
  </si>
  <si>
    <t xml:space="preserve">Business Development</t>
  </si>
  <si>
    <t xml:space="preserve">M12</t>
  </si>
  <si>
    <t xml:space="preserve">Mastery &amp; Certification</t>
  </si>
  <si>
    <t xml:space="preserve">TOTAL</t>
  </si>
  <si>
    <t xml:space="preserve">System Layer</t>
  </si>
  <si>
    <t xml:space="preserve">Field Name</t>
  </si>
  <si>
    <t xml:space="preserve">Type</t>
  </si>
  <si>
    <t xml:space="preserve">Source of Truth</t>
  </si>
  <si>
    <t xml:space="preserve">Dashboard Column</t>
  </si>
  <si>
    <t xml:space="preserve">Notes</t>
  </si>
  <si>
    <t xml:space="preserve">Firestore</t>
  </si>
  <si>
    <t xml:space="preserve">string</t>
  </si>
  <si>
    <t xml:space="preserve">Learners → user_id</t>
  </si>
  <si>
    <t xml:space="preserve">Slack user ID, primary key</t>
  </si>
  <si>
    <t xml:space="preserve">Learners → course_id</t>
  </si>
  <si>
    <t xml:space="preserve">Matches Notion Courses DB</t>
  </si>
  <si>
    <t xml:space="preserve">enum</t>
  </si>
  <si>
    <t xml:space="preserve">Learners → status</t>
  </si>
  <si>
    <t xml:space="preserve">active | paused | withdrawn | completed</t>
  </si>
  <si>
    <t xml:space="preserve">int</t>
  </si>
  <si>
    <t xml:space="preserve">Learners → current_month</t>
  </si>
  <si>
    <t xml:space="preserve">1-12. Maps to Notion Months DB</t>
  </si>
  <si>
    <t xml:space="preserve">Learners → current_module</t>
  </si>
  <si>
    <t xml:space="preserve">0-3 (Week 1-4). Maps to Notion Lessons.Week</t>
  </si>
  <si>
    <t xml:space="preserve">timestamp</t>
  </si>
  <si>
    <t xml:space="preserve">Learners → last_activity_at</t>
  </si>
  <si>
    <t xml:space="preserve">Used to compute days_inactive</t>
  </si>
  <si>
    <t xml:space="preserve">Dashboard</t>
  </si>
  <si>
    <t xml:space="preserve">computed</t>
  </si>
  <si>
    <t xml:space="preserve">Dashboard formula</t>
  </si>
  <si>
    <t xml:space="preserve">Learners → days_inactive</t>
  </si>
  <si>
    <t xml:space="preserve">TODAY() minus last_activity_at</t>
  </si>
  <si>
    <t xml:space="preserve">derived</t>
  </si>
  <si>
    <t xml:space="preserve">Convention</t>
  </si>
  <si>
    <t xml:space="preserve">Learners → slack_channel</t>
  </si>
  <si>
    <t xml:space="preserve">#rwr-month{N} pattern from course+month</t>
  </si>
  <si>
    <t xml:space="preserve">Notion</t>
  </si>
  <si>
    <t xml:space="preserve">Month.theme</t>
  </si>
  <si>
    <t xml:space="preserve">text</t>
  </si>
  <si>
    <t xml:space="preserve">Notion Months DB</t>
  </si>
  <si>
    <t xml:space="preserve">Content → Theme</t>
  </si>
  <si>
    <t xml:space="preserve">Monthly learning focus</t>
  </si>
  <si>
    <t xml:space="preserve">Lesson.status</t>
  </si>
  <si>
    <t xml:space="preserve">select</t>
  </si>
  <si>
    <t xml:space="preserve">Notion Lessons DB</t>
  </si>
  <si>
    <t xml:space="preserve">Content → Ready/Draft/Empty</t>
  </si>
  <si>
    <t xml:space="preserve">Aggregated per month</t>
  </si>
  <si>
    <t xml:space="preserve">Month.hub_link</t>
  </si>
  <si>
    <t xml:space="preserve">url</t>
  </si>
  <si>
    <t xml:space="preserve">Content → Weekly Hub</t>
  </si>
  <si>
    <t xml:space="preserve">Deep session page link</t>
  </si>
  <si>
    <t xml:space="preserve">Slack</t>
  </si>
  <si>
    <t xml:space="preserve">thread_ts</t>
  </si>
  <si>
    <t xml:space="preserve">Slack API</t>
  </si>
  <si>
    <t xml:space="preserve">Not tracked</t>
  </si>
  <si>
    <t xml:space="preserve">Thread timestamp for lesson delivery</t>
  </si>
  <si>
    <t xml:space="preserve">message_ts</t>
  </si>
  <si>
    <t xml:space="preserve">Last button click / interaction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</si>
</sst>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9"/>
      <color rgb="FFDC262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b val="true"/>
      <sz val="20"/>
      <color rgb="FF2563EB"/>
      <name val="Arial"/>
      <family val="0"/>
      <charset val="1"/>
    </font>
    <font>
      <b val="true"/>
      <sz val="20"/>
      <color rgb="FF059669"/>
      <name val="Arial"/>
      <family val="0"/>
      <charset val="1"/>
    </font>
    <font>
      <b val="true"/>
      <sz val="20"/>
      <color rgb="FFD97706"/>
      <name val="Arial"/>
      <family val="0"/>
      <charset val="1"/>
    </font>
    <font>
      <b val="true"/>
      <sz val="20"/>
      <color rgb="FFDC2626"/>
      <name val="Arial"/>
      <family val="0"/>
      <charset val="1"/>
    </font>
    <font>
      <b val="true"/>
      <sz val="20"/>
      <color rgb="FF7C3AED"/>
      <name val="Arial"/>
      <family val="0"/>
      <charset val="1"/>
    </font>
    <font>
      <b val="true"/>
      <sz val="2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9"/>
      <color rgb="FFD97706"/>
      <name val="Arial"/>
      <family val="0"/>
      <charset val="1"/>
    </font>
    <font>
      <sz val="10"/>
      <color rgb="FF1F2937"/>
      <name val="Consolas"/>
      <family val="0"/>
      <charset val="1"/>
    </font>
    <font>
      <sz val="10"/>
      <color rgb="FF2563EB"/>
      <name val="Consolas"/>
      <family val="0"/>
      <charset val="1"/>
    </font>
    <font>
      <b val="true"/>
      <sz val="10"/>
      <color rgb="FF2563EB"/>
      <name val="Consolas"/>
      <family val="0"/>
      <charset val="1"/>
    </font>
    <font>
      <b val="true"/>
      <sz val="10"/>
      <color rgb="FF2563E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3F4F6"/>
        <bgColor rgb="FFF5F3FF"/>
      </patternFill>
    </fill>
    <fill>
      <patternFill patternType="solid">
        <fgColor rgb="FFFEF2F2"/>
        <bgColor rgb="FFF3F4F6"/>
      </patternFill>
    </fill>
    <fill>
      <patternFill patternType="solid">
        <fgColor rgb="FFFFFBEB"/>
        <bgColor rgb="FFF8F9FA"/>
      </patternFill>
    </fill>
    <fill>
      <patternFill patternType="solid">
        <fgColor rgb="FFF5F3FF"/>
        <bgColor rgb="FFF3F4F6"/>
      </patternFill>
    </fill>
    <fill>
      <patternFill patternType="solid">
        <fgColor rgb="FFEFF6FF"/>
        <bgColor rgb="FFF3F4F6"/>
      </patternFill>
    </fill>
    <fill>
      <patternFill patternType="solid">
        <fgColor rgb="FFECFDF5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3F4F6"/>
      </patternFill>
    </fill>
    <fill>
      <patternFill patternType="solid">
        <fgColor rgb="FF059669"/>
        <bgColor rgb="FF008080"/>
      </patternFill>
    </fill>
    <fill>
      <patternFill patternType="solid">
        <fgColor rgb="FF7C3AED"/>
        <bgColor rgb="FF993366"/>
      </patternFill>
    </fill>
    <fill>
      <patternFill patternType="solid">
        <fgColor rgb="FF6B7280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/>
      <bottom style="medium">
        <color rgb="FF1F29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8F9FA"/>
      <rgbColor rgb="FF808080"/>
      <rgbColor rgb="FF9999FF"/>
      <rgbColor rgb="FF7C3AED"/>
      <rgbColor rgb="FFFFFBEB"/>
      <rgbColor rgb="FFECFDF5"/>
      <rgbColor rgb="FF660066"/>
      <rgbColor rgb="FFFF8080"/>
      <rgbColor rgb="FF0066CC"/>
      <rgbColor rgb="FFF5F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5E7EB"/>
      <rgbColor rgb="FFFEF2F2"/>
      <rgbColor rgb="FF99CCFF"/>
      <rgbColor rgb="FFFF99CC"/>
      <rgbColor rgb="FFCC99FF"/>
      <rgbColor rgb="FFF3F4F6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60"/>
    <col collapsed="false" customWidth="true" hidden="false" outlineLevel="0" max="4" min="4" style="1" width="18"/>
  </cols>
  <sheetData>
    <row r="1" customFormat="false" ht="19.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  <c r="C4" s="4" t="s">
        <v>3</v>
      </c>
      <c r="D4" s="4" t="s">
        <v>4</v>
      </c>
    </row>
    <row r="5" customFormat="false" ht="23.25" hidden="false" customHeight="true" outlineLevel="0" collapsed="false">
      <c r="B5" s="5" t="s">
        <v>5</v>
      </c>
      <c r="D5" s="6" t="s">
        <v>6</v>
      </c>
    </row>
    <row r="6" customFormat="false" ht="42" hidden="false" customHeight="true" outlineLevel="0" collapsed="false">
      <c r="B6" s="7" t="s">
        <v>7</v>
      </c>
    </row>
    <row r="7" customFormat="false" ht="15" hidden="false" customHeight="true" outlineLevel="0" collapsed="false">
      <c r="B7" s="5" t="s">
        <v>8</v>
      </c>
      <c r="D7" s="6" t="s">
        <v>6</v>
      </c>
    </row>
    <row r="8" customFormat="false" ht="42" hidden="false" customHeight="true" outlineLevel="0" collapsed="false">
      <c r="B8" s="7" t="s">
        <v>9</v>
      </c>
    </row>
    <row r="9" customFormat="false" ht="23.25" hidden="false" customHeight="true" outlineLevel="0" collapsed="false">
      <c r="B9" s="5" t="s">
        <v>10</v>
      </c>
      <c r="D9" s="6" t="s">
        <v>6</v>
      </c>
    </row>
    <row r="10" customFormat="false" ht="42" hidden="false" customHeight="true" outlineLevel="0" collapsed="false">
      <c r="B10" s="7" t="s">
        <v>11</v>
      </c>
    </row>
    <row r="11" customFormat="false" ht="23.25" hidden="false" customHeight="true" outlineLevel="0" collapsed="false">
      <c r="B11" s="5" t="s">
        <v>12</v>
      </c>
      <c r="D11" s="8" t="s">
        <v>13</v>
      </c>
    </row>
    <row r="12" customFormat="false" ht="42" hidden="false" customHeight="true" outlineLevel="0" collapsed="false">
      <c r="B12" s="7" t="s">
        <v>14</v>
      </c>
    </row>
    <row r="13" customFormat="false" ht="15" hidden="false" customHeight="true" outlineLevel="0" collapsed="false">
      <c r="B13" s="5" t="s">
        <v>15</v>
      </c>
      <c r="D13" s="8" t="s">
        <v>13</v>
      </c>
    </row>
    <row r="14" customFormat="false" ht="42" hidden="false" customHeight="true" outlineLevel="0" collapsed="false">
      <c r="B14" s="7" t="s">
        <v>16</v>
      </c>
    </row>
    <row r="15" customFormat="false" ht="15" hidden="false" customHeight="true" outlineLevel="0" collapsed="false">
      <c r="B15" s="5" t="s">
        <v>17</v>
      </c>
      <c r="D15" s="8" t="s">
        <v>13</v>
      </c>
    </row>
    <row r="16" customFormat="false" ht="42" hidden="false" customHeight="true" outlineLevel="0" collapsed="false">
      <c r="B16" s="7" t="s">
        <v>18</v>
      </c>
    </row>
    <row r="17" customFormat="false" ht="23.25" hidden="false" customHeight="true" outlineLevel="0" collapsed="false">
      <c r="B17" s="5" t="s">
        <v>19</v>
      </c>
      <c r="D17" s="9" t="s">
        <v>20</v>
      </c>
    </row>
    <row r="18" customFormat="false" ht="42" hidden="false" customHeight="true" outlineLevel="0" collapsed="false">
      <c r="B18" s="7" t="s">
        <v>21</v>
      </c>
    </row>
    <row r="19" customFormat="false" ht="15" hidden="false" customHeight="true" outlineLevel="0" collapsed="false">
      <c r="B19" s="5" t="s">
        <v>22</v>
      </c>
      <c r="D19" s="9" t="s">
        <v>20</v>
      </c>
    </row>
    <row r="20" customFormat="false" ht="42" hidden="false" customHeight="true" outlineLevel="0" collapsed="false">
      <c r="B20" s="7" t="s">
        <v>23</v>
      </c>
    </row>
    <row r="21" customFormat="false" ht="15" hidden="false" customHeight="true" outlineLevel="0" collapsed="false">
      <c r="B21" s="5" t="s">
        <v>24</v>
      </c>
      <c r="D21" s="10" t="s">
        <v>25</v>
      </c>
    </row>
    <row r="22" customFormat="false" ht="42" hidden="false" customHeight="true" outlineLevel="0" collapsed="false">
      <c r="B22" s="7" t="s">
        <v>26</v>
      </c>
    </row>
    <row r="23" customFormat="false" ht="15" hidden="false" customHeight="true" outlineLevel="0" collapsed="false">
      <c r="B23" s="5" t="s">
        <v>27</v>
      </c>
      <c r="D23" s="10" t="s">
        <v>25</v>
      </c>
    </row>
    <row r="24" customFormat="false" ht="42" hidden="false" customHeight="true" outlineLevel="0" collapsed="false">
      <c r="B24" s="7" t="s">
        <v>28</v>
      </c>
    </row>
    <row r="26" customFormat="false" ht="15" hidden="false" customHeight="true" outlineLevel="0" collapsed="false">
      <c r="B26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B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8" min="3" style="1" width="16"/>
    <col collapsed="false" customWidth="true" hidden="false" outlineLevel="0" max="9" min="9" style="1" width="3"/>
  </cols>
  <sheetData>
    <row r="1" customFormat="false" ht="21.75" hidden="false" customHeight="true" outlineLevel="0" collapsed="false">
      <c r="B1" s="12" t="s">
        <v>30</v>
      </c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B2" s="13" t="s">
        <v>31</v>
      </c>
      <c r="C2" s="13"/>
      <c r="D2" s="13"/>
      <c r="E2" s="13"/>
      <c r="F2" s="13"/>
      <c r="G2" s="13"/>
      <c r="H2" s="13"/>
    </row>
    <row r="4" customFormat="false" ht="39.75" hidden="false" customHeight="true" outlineLevel="0" collapsed="false">
      <c r="B4" s="14" t="n">
        <f aca="false">COUNTA(Learners!A2:A100)-COUNTBLANK(Learners!A2:A100)</f>
        <v>-83</v>
      </c>
      <c r="C4" s="15" t="n">
        <f aca="false">COUNTIF(Learners!D2:D100,"active")</f>
        <v>6</v>
      </c>
      <c r="D4" s="16" t="n">
        <f aca="false">COUNTIF(Learners!D2:D100,"paused")</f>
        <v>1</v>
      </c>
      <c r="E4" s="17" t="n">
        <f aca="false">COUNTIF(Learners!D2:D100,"withdrawn")</f>
        <v>1</v>
      </c>
      <c r="F4" s="18" t="n">
        <f aca="false">ROUND(AVERAGE(Learners!E2:E100),1)</f>
        <v>2.1</v>
      </c>
      <c r="G4" s="17" t="n">
        <f aca="false">COUNTIFS(Learners!I2:I100,"&gt;="&amp;14,Learners!D2:D100,"active")</f>
        <v>0</v>
      </c>
      <c r="H4" s="19" t="s">
        <v>32</v>
      </c>
    </row>
    <row r="5" customFormat="false" ht="15" hidden="false" customHeight="true" outlineLevel="0" collapsed="false">
      <c r="B5" s="20" t="s">
        <v>33</v>
      </c>
      <c r="C5" s="21" t="s">
        <v>34</v>
      </c>
      <c r="D5" s="22" t="s">
        <v>35</v>
      </c>
      <c r="E5" s="23" t="s">
        <v>36</v>
      </c>
      <c r="F5" s="24" t="s">
        <v>37</v>
      </c>
      <c r="G5" s="23" t="s">
        <v>38</v>
      </c>
      <c r="H5" s="25" t="s">
        <v>39</v>
      </c>
    </row>
    <row r="7" customFormat="false" ht="15" hidden="false" customHeight="true" outlineLevel="0" collapsed="false">
      <c r="B7" s="26" t="s">
        <v>40</v>
      </c>
      <c r="C7" s="26"/>
      <c r="D7" s="26"/>
      <c r="E7" s="26"/>
      <c r="F7" s="26"/>
      <c r="G7" s="26"/>
      <c r="H7" s="26"/>
    </row>
    <row r="8" customFormat="false" ht="15" hidden="false" customHeight="true" outlineLevel="0" collapsed="false">
      <c r="B8" s="27" t="s">
        <v>41</v>
      </c>
      <c r="C8" s="27" t="s">
        <v>42</v>
      </c>
      <c r="D8" s="27" t="s">
        <v>43</v>
      </c>
      <c r="E8" s="27" t="s">
        <v>35</v>
      </c>
      <c r="F8" s="27" t="s">
        <v>44</v>
      </c>
      <c r="G8" s="27" t="s">
        <v>45</v>
      </c>
      <c r="H8" s="27" t="s">
        <v>46</v>
      </c>
    </row>
    <row r="9" customFormat="false" ht="15" hidden="false" customHeight="true" outlineLevel="0" collapsed="false">
      <c r="B9" s="28" t="s">
        <v>47</v>
      </c>
      <c r="C9" s="29" t="n">
        <f aca="false">COUNTIFS(Learners!E2:E100,1,Learners!D2:D100,"&lt;&gt;withdrawn")</f>
        <v>2</v>
      </c>
      <c r="D9" s="30" t="n">
        <f aca="false">COUNTIFS(Learners!E2:E100,1,Learners!D2:D100,"active",Learners!I2:I100,"&lt;7")</f>
        <v>2</v>
      </c>
      <c r="E9" s="31" t="n">
        <f aca="false">COUNTIFS(Learners!E2:E100,1,Learners!D2:D100,"paused")</f>
        <v>0</v>
      </c>
      <c r="F9" s="32" t="n">
        <f aca="false">COUNTIFS(Learners!E2:E100,1,Learners!D2:D100,"active",Learners!I2:I100,"&gt;="&amp;14)</f>
        <v>0</v>
      </c>
      <c r="G9" s="33" t="s">
        <v>48</v>
      </c>
      <c r="H9" s="34" t="s">
        <v>49</v>
      </c>
    </row>
    <row r="10" customFormat="false" ht="15" hidden="false" customHeight="true" outlineLevel="0" collapsed="false">
      <c r="B10" s="35" t="s">
        <v>50</v>
      </c>
      <c r="C10" s="36" t="n">
        <f aca="false">COUNTIFS(Learners!E2:E100,2,Learners!D2:D100,"&lt;&gt;withdrawn")</f>
        <v>2</v>
      </c>
      <c r="D10" s="37" t="n">
        <f aca="false">COUNTIFS(Learners!E2:E100,2,Learners!D2:D100,"active",Learners!I2:I100,"&lt;7")</f>
        <v>1</v>
      </c>
      <c r="E10" s="38" t="n">
        <f aca="false">COUNTIFS(Learners!E2:E100,2,Learners!D2:D100,"paused")</f>
        <v>1</v>
      </c>
      <c r="F10" s="39" t="n">
        <f aca="false">COUNTIFS(Learners!E2:E100,2,Learners!D2:D100,"active",Learners!I2:I100,"&gt;="&amp;14)</f>
        <v>0</v>
      </c>
      <c r="G10" s="33" t="s">
        <v>48</v>
      </c>
      <c r="H10" s="40" t="s">
        <v>49</v>
      </c>
    </row>
    <row r="11" customFormat="false" ht="15" hidden="false" customHeight="true" outlineLevel="0" collapsed="false">
      <c r="B11" s="28" t="s">
        <v>51</v>
      </c>
      <c r="C11" s="29" t="n">
        <f aca="false">COUNTIFS(Learners!E2:E100,3,Learners!D2:D100,"&lt;&gt;withdrawn")</f>
        <v>2</v>
      </c>
      <c r="D11" s="30" t="n">
        <f aca="false">COUNTIFS(Learners!E2:E100,3,Learners!D2:D100,"active",Learners!I2:I100,"&lt;7")</f>
        <v>2</v>
      </c>
      <c r="E11" s="31" t="n">
        <f aca="false">COUNTIFS(Learners!E2:E100,3,Learners!D2:D100,"paused")</f>
        <v>0</v>
      </c>
      <c r="F11" s="32" t="n">
        <f aca="false">COUNTIFS(Learners!E2:E100,3,Learners!D2:D100,"active",Learners!I2:I100,"&gt;="&amp;14)</f>
        <v>0</v>
      </c>
      <c r="G11" s="33" t="s">
        <v>48</v>
      </c>
      <c r="H11" s="34" t="s">
        <v>49</v>
      </c>
    </row>
    <row r="12" customFormat="false" ht="15" hidden="false" customHeight="true" outlineLevel="0" collapsed="false">
      <c r="B12" s="35" t="s">
        <v>52</v>
      </c>
      <c r="C12" s="36" t="n">
        <f aca="false">COUNTIFS(Learners!E2:E100,4,Learners!D2:D100,"&lt;&gt;withdrawn")</f>
        <v>1</v>
      </c>
      <c r="D12" s="37" t="n">
        <f aca="false">COUNTIFS(Learners!E2:E100,4,Learners!D2:D100,"active",Learners!I2:I100,"&lt;7")</f>
        <v>1</v>
      </c>
      <c r="E12" s="38" t="n">
        <f aca="false">COUNTIFS(Learners!E2:E100,4,Learners!D2:D100,"paused")</f>
        <v>0</v>
      </c>
      <c r="F12" s="39" t="n">
        <f aca="false">COUNTIFS(Learners!E2:E100,4,Learners!D2:D100,"active",Learners!I2:I100,"&gt;="&amp;14)</f>
        <v>0</v>
      </c>
      <c r="G12" s="33" t="s">
        <v>48</v>
      </c>
      <c r="H12" s="40" t="s">
        <v>49</v>
      </c>
    </row>
    <row r="13" customFormat="false" ht="15" hidden="false" customHeight="true" outlineLevel="0" collapsed="false">
      <c r="B13" s="28" t="s">
        <v>53</v>
      </c>
      <c r="C13" s="29" t="n">
        <f aca="false">COUNTIFS(Learners!E2:E100,5,Learners!D2:D100,"&lt;&gt;withdrawn")</f>
        <v>0</v>
      </c>
      <c r="D13" s="30" t="n">
        <f aca="false">COUNTIFS(Learners!E2:E100,5,Learners!D2:D100,"active",Learners!I2:I100,"&lt;7")</f>
        <v>0</v>
      </c>
      <c r="E13" s="31" t="n">
        <f aca="false">COUNTIFS(Learners!E2:E100,5,Learners!D2:D100,"paused")</f>
        <v>0</v>
      </c>
      <c r="F13" s="32" t="n">
        <f aca="false">COUNTIFS(Learners!E2:E100,5,Learners!D2:D100,"active",Learners!I2:I100,"&gt;="&amp;14)</f>
        <v>0</v>
      </c>
      <c r="G13" s="41" t="s">
        <v>54</v>
      </c>
      <c r="H13" s="42" t="s">
        <v>55</v>
      </c>
    </row>
    <row r="14" customFormat="false" ht="15" hidden="false" customHeight="true" outlineLevel="0" collapsed="false">
      <c r="B14" s="35" t="s">
        <v>56</v>
      </c>
      <c r="C14" s="36" t="n">
        <f aca="false">COUNTIFS(Learners!E2:E100,6,Learners!D2:D100,"&lt;&gt;withdrawn")</f>
        <v>0</v>
      </c>
      <c r="D14" s="37" t="n">
        <f aca="false">COUNTIFS(Learners!E2:E100,6,Learners!D2:D100,"active",Learners!I2:I100,"&lt;7")</f>
        <v>0</v>
      </c>
      <c r="E14" s="38" t="n">
        <f aca="false">COUNTIFS(Learners!E2:E100,6,Learners!D2:D100,"paused")</f>
        <v>0</v>
      </c>
      <c r="F14" s="39" t="n">
        <f aca="false">COUNTIFS(Learners!E2:E100,6,Learners!D2:D100,"active",Learners!I2:I100,"&gt;="&amp;14)</f>
        <v>0</v>
      </c>
      <c r="G14" s="41" t="s">
        <v>54</v>
      </c>
      <c r="H14" s="43" t="s">
        <v>55</v>
      </c>
    </row>
    <row r="15" customFormat="false" ht="15" hidden="false" customHeight="true" outlineLevel="0" collapsed="false">
      <c r="B15" s="28" t="s">
        <v>57</v>
      </c>
      <c r="C15" s="29" t="n">
        <f aca="false">COUNTIFS(Learners!E2:E100,7,Learners!D2:D100,"&lt;&gt;withdrawn")</f>
        <v>0</v>
      </c>
      <c r="D15" s="30" t="n">
        <f aca="false">COUNTIFS(Learners!E2:E100,7,Learners!D2:D100,"active",Learners!I2:I100,"&lt;7")</f>
        <v>0</v>
      </c>
      <c r="E15" s="31" t="n">
        <f aca="false">COUNTIFS(Learners!E2:E100,7,Learners!D2:D100,"paused")</f>
        <v>0</v>
      </c>
      <c r="F15" s="32" t="n">
        <f aca="false">COUNTIFS(Learners!E2:E100,7,Learners!D2:D100,"active",Learners!I2:I100,"&gt;="&amp;14)</f>
        <v>0</v>
      </c>
      <c r="G15" s="44" t="s">
        <v>58</v>
      </c>
      <c r="H15" s="34" t="s">
        <v>49</v>
      </c>
    </row>
    <row r="16" customFormat="false" ht="15" hidden="false" customHeight="true" outlineLevel="0" collapsed="false">
      <c r="B16" s="35" t="s">
        <v>59</v>
      </c>
      <c r="C16" s="36" t="n">
        <f aca="false">COUNTIFS(Learners!E2:E100,8,Learners!D2:D100,"&lt;&gt;withdrawn")</f>
        <v>0</v>
      </c>
      <c r="D16" s="37" t="n">
        <f aca="false">COUNTIFS(Learners!E2:E100,8,Learners!D2:D100,"active",Learners!I2:I100,"&lt;7")</f>
        <v>0</v>
      </c>
      <c r="E16" s="38" t="n">
        <f aca="false">COUNTIFS(Learners!E2:E100,8,Learners!D2:D100,"paused")</f>
        <v>0</v>
      </c>
      <c r="F16" s="39" t="n">
        <f aca="false">COUNTIFS(Learners!E2:E100,8,Learners!D2:D100,"active",Learners!I2:I100,"&gt;="&amp;14)</f>
        <v>0</v>
      </c>
      <c r="G16" s="44" t="s">
        <v>58</v>
      </c>
      <c r="H16" s="40" t="s">
        <v>49</v>
      </c>
    </row>
    <row r="17" customFormat="false" ht="15" hidden="false" customHeight="true" outlineLevel="0" collapsed="false">
      <c r="B17" s="28" t="s">
        <v>60</v>
      </c>
      <c r="C17" s="29" t="n">
        <f aca="false">COUNTIFS(Learners!E2:E100,9,Learners!D2:D100,"&lt;&gt;withdrawn")</f>
        <v>0</v>
      </c>
      <c r="D17" s="30" t="n">
        <f aca="false">COUNTIFS(Learners!E2:E100,9,Learners!D2:D100,"active",Learners!I2:I100,"&lt;7")</f>
        <v>0</v>
      </c>
      <c r="E17" s="31" t="n">
        <f aca="false">COUNTIFS(Learners!E2:E100,9,Learners!D2:D100,"paused")</f>
        <v>0</v>
      </c>
      <c r="F17" s="32" t="n">
        <f aca="false">COUNTIFS(Learners!E2:E100,9,Learners!D2:D100,"active",Learners!I2:I100,"&gt;="&amp;14)</f>
        <v>0</v>
      </c>
      <c r="G17" s="44" t="s">
        <v>58</v>
      </c>
      <c r="H17" s="34" t="s">
        <v>49</v>
      </c>
    </row>
    <row r="18" customFormat="false" ht="15" hidden="false" customHeight="true" outlineLevel="0" collapsed="false">
      <c r="B18" s="35" t="s">
        <v>61</v>
      </c>
      <c r="C18" s="36" t="n">
        <f aca="false">COUNTIFS(Learners!E2:E100,10,Learners!D2:D100,"&lt;&gt;withdrawn")</f>
        <v>0</v>
      </c>
      <c r="D18" s="37" t="n">
        <f aca="false">COUNTIFS(Learners!E2:E100,10,Learners!D2:D100,"active",Learners!I2:I100,"&lt;7")</f>
        <v>0</v>
      </c>
      <c r="E18" s="38" t="n">
        <f aca="false">COUNTIFS(Learners!E2:E100,10,Learners!D2:D100,"paused")</f>
        <v>0</v>
      </c>
      <c r="F18" s="39" t="n">
        <f aca="false">COUNTIFS(Learners!E2:E100,10,Learners!D2:D100,"active",Learners!I2:I100,"&gt;="&amp;14)</f>
        <v>0</v>
      </c>
      <c r="G18" s="44" t="s">
        <v>58</v>
      </c>
      <c r="H18" s="40" t="s">
        <v>49</v>
      </c>
    </row>
    <row r="19" customFormat="false" ht="15" hidden="false" customHeight="true" outlineLevel="0" collapsed="false">
      <c r="B19" s="28" t="s">
        <v>62</v>
      </c>
      <c r="C19" s="29" t="n">
        <f aca="false">COUNTIFS(Learners!E2:E100,11,Learners!D2:D100,"&lt;&gt;withdrawn")</f>
        <v>0</v>
      </c>
      <c r="D19" s="30" t="n">
        <f aca="false">COUNTIFS(Learners!E2:E100,11,Learners!D2:D100,"active",Learners!I2:I100,"&lt;7")</f>
        <v>0</v>
      </c>
      <c r="E19" s="31" t="n">
        <f aca="false">COUNTIFS(Learners!E2:E100,11,Learners!D2:D100,"paused")</f>
        <v>0</v>
      </c>
      <c r="F19" s="32" t="n">
        <f aca="false">COUNTIFS(Learners!E2:E100,11,Learners!D2:D100,"active",Learners!I2:I100,"&gt;="&amp;14)</f>
        <v>0</v>
      </c>
      <c r="G19" s="44" t="s">
        <v>58</v>
      </c>
      <c r="H19" s="34" t="s">
        <v>49</v>
      </c>
    </row>
    <row r="20" customFormat="false" ht="15" hidden="false" customHeight="true" outlineLevel="0" collapsed="false">
      <c r="B20" s="35" t="s">
        <v>63</v>
      </c>
      <c r="C20" s="36" t="n">
        <f aca="false">COUNTIFS(Learners!E2:E100,12,Learners!D2:D100,"&lt;&gt;withdrawn")</f>
        <v>0</v>
      </c>
      <c r="D20" s="37" t="n">
        <f aca="false">COUNTIFS(Learners!E2:E100,12,Learners!D2:D100,"active",Learners!I2:I100,"&lt;7")</f>
        <v>0</v>
      </c>
      <c r="E20" s="38" t="n">
        <f aca="false">COUNTIFS(Learners!E2:E100,12,Learners!D2:D100,"paused")</f>
        <v>0</v>
      </c>
      <c r="F20" s="39" t="n">
        <f aca="false">COUNTIFS(Learners!E2:E100,12,Learners!D2:D100,"active",Learners!I2:I100,"&gt;="&amp;14)</f>
        <v>0</v>
      </c>
      <c r="G20" s="44" t="s">
        <v>58</v>
      </c>
      <c r="H20" s="40" t="s">
        <v>49</v>
      </c>
    </row>
    <row r="22" customFormat="false" ht="15" hidden="false" customHeight="true" outlineLevel="0" collapsed="false">
      <c r="B22" s="26" t="s">
        <v>64</v>
      </c>
      <c r="C22" s="26"/>
      <c r="D22" s="26"/>
      <c r="E22" s="26"/>
      <c r="F22" s="26"/>
      <c r="G22" s="26"/>
      <c r="H22" s="26"/>
    </row>
    <row r="23" customFormat="false" ht="15" hidden="false" customHeight="true" outlineLevel="0" collapsed="false">
      <c r="B23" s="45" t="s">
        <v>65</v>
      </c>
      <c r="C23" s="45" t="s">
        <v>66</v>
      </c>
      <c r="D23" s="45" t="s">
        <v>34</v>
      </c>
      <c r="E23" s="45" t="s">
        <v>35</v>
      </c>
      <c r="F23" s="45" t="s">
        <v>36</v>
      </c>
      <c r="G23" s="45" t="s">
        <v>37</v>
      </c>
      <c r="H23" s="45" t="s">
        <v>67</v>
      </c>
    </row>
    <row r="24" customFormat="false" ht="15" hidden="false" customHeight="true" outlineLevel="0" collapsed="false">
      <c r="B24" s="35" t="s">
        <v>68</v>
      </c>
      <c r="C24" s="36" t="n">
        <f aca="false">COUNTIF(Learners!K2:K100,"Cohort A")</f>
        <v>3</v>
      </c>
      <c r="D24" s="37" t="n">
        <f aca="false">COUNTIFS(Learners!K2:K100,"Cohort A",Learners!D2:D100,"active")</f>
        <v>3</v>
      </c>
      <c r="E24" s="38" t="n">
        <f aca="false">COUNTIFS(Learners!K2:K100,"Cohort A",Learners!D2:D100,"paused")</f>
        <v>0</v>
      </c>
      <c r="F24" s="39" t="n">
        <f aca="false">COUNTIFS(Learners!K2:K100,"Cohort A",Learners!D2:D100,"withdrawn")</f>
        <v>0</v>
      </c>
      <c r="G24" s="46" t="n">
        <f aca="false">AVERAGEIF(Learners!K2:K100,"Cohort A",Learners!E2:E100)</f>
        <v>3.33333333333333</v>
      </c>
      <c r="H24" s="40" t="s">
        <v>49</v>
      </c>
    </row>
    <row r="25" customFormat="false" ht="15" hidden="false" customHeight="true" outlineLevel="0" collapsed="false">
      <c r="B25" s="28" t="s">
        <v>69</v>
      </c>
      <c r="C25" s="29" t="n">
        <f aca="false">COUNTIF(Learners!K2:K100,"Cohort B")</f>
        <v>2</v>
      </c>
      <c r="D25" s="30" t="n">
        <f aca="false">COUNTIFS(Learners!K2:K100,"Cohort B",Learners!D2:D100,"active")</f>
        <v>1</v>
      </c>
      <c r="E25" s="31" t="n">
        <f aca="false">COUNTIFS(Learners!K2:K100,"Cohort B",Learners!D2:D100,"paused")</f>
        <v>1</v>
      </c>
      <c r="F25" s="32" t="n">
        <f aca="false">COUNTIFS(Learners!K2:K100,"Cohort B",Learners!D2:D100,"withdrawn")</f>
        <v>0</v>
      </c>
      <c r="G25" s="47" t="n">
        <f aca="false">AVERAGEIF(Learners!K2:K100,"Cohort B",Learners!E2:E100)</f>
        <v>2</v>
      </c>
      <c r="H25" s="34" t="s">
        <v>49</v>
      </c>
    </row>
    <row r="26" customFormat="false" ht="15" hidden="false" customHeight="true" outlineLevel="0" collapsed="false">
      <c r="B26" s="35" t="s">
        <v>70</v>
      </c>
      <c r="C26" s="36" t="n">
        <f aca="false">COUNTIF(Learners!K2:K100,"Cohort C")</f>
        <v>3</v>
      </c>
      <c r="D26" s="37" t="n">
        <f aca="false">COUNTIFS(Learners!K2:K100,"Cohort C",Learners!D2:D100,"active")</f>
        <v>2</v>
      </c>
      <c r="E26" s="38" t="n">
        <f aca="false">COUNTIFS(Learners!K2:K100,"Cohort C",Learners!D2:D100,"paused")</f>
        <v>0</v>
      </c>
      <c r="F26" s="39" t="n">
        <f aca="false">COUNTIFS(Learners!K2:K100,"Cohort C",Learners!D2:D100,"withdrawn")</f>
        <v>1</v>
      </c>
      <c r="G26" s="46" t="n">
        <f aca="false">AVERAGEIF(Learners!K2:K100,"Cohort C",Learners!E2:E100)</f>
        <v>1</v>
      </c>
      <c r="H26" s="40" t="s">
        <v>49</v>
      </c>
    </row>
  </sheetData>
  <mergeCells count="4">
    <mergeCell ref="B1:H1"/>
    <mergeCell ref="B2:H2"/>
    <mergeCell ref="B7:H7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4"/>
    <col collapsed="false" customWidth="true" hidden="false" outlineLevel="0" max="11" min="11" style="1" width="16"/>
  </cols>
  <sheetData>
    <row r="1" customFormat="false" ht="15" hidden="false" customHeight="true" outlineLevel="0" collapsed="false">
      <c r="A1" s="27" t="s">
        <v>71</v>
      </c>
      <c r="B1" s="27" t="s">
        <v>72</v>
      </c>
      <c r="C1" s="27" t="s">
        <v>73</v>
      </c>
      <c r="D1" s="27" t="s">
        <v>74</v>
      </c>
      <c r="E1" s="27" t="s">
        <v>75</v>
      </c>
      <c r="F1" s="27" t="s">
        <v>76</v>
      </c>
      <c r="G1" s="27" t="s">
        <v>77</v>
      </c>
      <c r="H1" s="27" t="s">
        <v>78</v>
      </c>
      <c r="I1" s="27" t="s">
        <v>79</v>
      </c>
      <c r="J1" s="27" t="s">
        <v>80</v>
      </c>
      <c r="K1" s="27" t="s">
        <v>81</v>
      </c>
    </row>
    <row r="2" customFormat="false" ht="15" hidden="false" customHeight="true" outlineLevel="0" collapsed="false">
      <c r="A2" s="48" t="s">
        <v>82</v>
      </c>
      <c r="B2" s="49" t="s">
        <v>83</v>
      </c>
      <c r="C2" s="36" t="s">
        <v>84</v>
      </c>
      <c r="D2" s="33" t="s">
        <v>85</v>
      </c>
      <c r="E2" s="36" t="n">
        <v>3</v>
      </c>
      <c r="F2" s="36" t="n">
        <v>2</v>
      </c>
      <c r="G2" s="36" t="s">
        <v>86</v>
      </c>
      <c r="H2" s="36" t="s">
        <v>87</v>
      </c>
      <c r="I2" s="36" t="n">
        <v>2</v>
      </c>
      <c r="J2" s="36" t="s">
        <v>88</v>
      </c>
      <c r="K2" s="36" t="s">
        <v>89</v>
      </c>
    </row>
    <row r="3" customFormat="false" ht="15" hidden="false" customHeight="true" outlineLevel="0" collapsed="false">
      <c r="A3" s="50" t="s">
        <v>90</v>
      </c>
      <c r="B3" s="51" t="s">
        <v>91</v>
      </c>
      <c r="C3" s="29" t="s">
        <v>84</v>
      </c>
      <c r="D3" s="33" t="s">
        <v>85</v>
      </c>
      <c r="E3" s="29" t="n">
        <v>3</v>
      </c>
      <c r="F3" s="29" t="n">
        <v>4</v>
      </c>
      <c r="G3" s="29" t="s">
        <v>86</v>
      </c>
      <c r="H3" s="29" t="s">
        <v>92</v>
      </c>
      <c r="I3" s="29" t="n">
        <v>0</v>
      </c>
      <c r="J3" s="29" t="s">
        <v>88</v>
      </c>
      <c r="K3" s="29" t="s">
        <v>89</v>
      </c>
    </row>
    <row r="4" customFormat="false" ht="15" hidden="false" customHeight="true" outlineLevel="0" collapsed="false">
      <c r="A4" s="48" t="s">
        <v>93</v>
      </c>
      <c r="B4" s="49" t="s">
        <v>94</v>
      </c>
      <c r="C4" s="36" t="s">
        <v>84</v>
      </c>
      <c r="D4" s="33" t="s">
        <v>85</v>
      </c>
      <c r="E4" s="36" t="n">
        <v>2</v>
      </c>
      <c r="F4" s="36" t="n">
        <v>3</v>
      </c>
      <c r="G4" s="36" t="s">
        <v>95</v>
      </c>
      <c r="H4" s="36" t="s">
        <v>96</v>
      </c>
      <c r="I4" s="36" t="n">
        <v>4</v>
      </c>
      <c r="J4" s="36" t="s">
        <v>97</v>
      </c>
      <c r="K4" s="36" t="s">
        <v>98</v>
      </c>
    </row>
    <row r="5" customFormat="false" ht="15" hidden="false" customHeight="true" outlineLevel="0" collapsed="false">
      <c r="A5" s="50" t="s">
        <v>99</v>
      </c>
      <c r="B5" s="51" t="s">
        <v>100</v>
      </c>
      <c r="C5" s="29" t="s">
        <v>84</v>
      </c>
      <c r="D5" s="41" t="s">
        <v>101</v>
      </c>
      <c r="E5" s="29" t="n">
        <v>2</v>
      </c>
      <c r="F5" s="29" t="n">
        <v>1</v>
      </c>
      <c r="G5" s="29" t="s">
        <v>95</v>
      </c>
      <c r="H5" s="29" t="s">
        <v>102</v>
      </c>
      <c r="I5" s="44" t="n">
        <v>20</v>
      </c>
      <c r="J5" s="29" t="s">
        <v>97</v>
      </c>
      <c r="K5" s="29" t="s">
        <v>98</v>
      </c>
    </row>
    <row r="6" customFormat="false" ht="15" hidden="false" customHeight="true" outlineLevel="0" collapsed="false">
      <c r="A6" s="48" t="s">
        <v>103</v>
      </c>
      <c r="B6" s="49" t="s">
        <v>104</v>
      </c>
      <c r="C6" s="36" t="s">
        <v>84</v>
      </c>
      <c r="D6" s="33" t="s">
        <v>85</v>
      </c>
      <c r="E6" s="36" t="n">
        <v>1</v>
      </c>
      <c r="F6" s="36" t="n">
        <v>4</v>
      </c>
      <c r="G6" s="36" t="s">
        <v>105</v>
      </c>
      <c r="H6" s="36" t="s">
        <v>106</v>
      </c>
      <c r="I6" s="36" t="n">
        <v>1</v>
      </c>
      <c r="J6" s="36" t="s">
        <v>107</v>
      </c>
      <c r="K6" s="36" t="s">
        <v>108</v>
      </c>
    </row>
    <row r="7" customFormat="false" ht="15" hidden="false" customHeight="true" outlineLevel="0" collapsed="false">
      <c r="A7" s="50" t="s">
        <v>109</v>
      </c>
      <c r="B7" s="51" t="s">
        <v>110</v>
      </c>
      <c r="C7" s="29" t="s">
        <v>84</v>
      </c>
      <c r="D7" s="33" t="s">
        <v>85</v>
      </c>
      <c r="E7" s="29" t="n">
        <v>1</v>
      </c>
      <c r="F7" s="29" t="n">
        <v>3</v>
      </c>
      <c r="G7" s="29" t="s">
        <v>105</v>
      </c>
      <c r="H7" s="29" t="s">
        <v>111</v>
      </c>
      <c r="I7" s="29" t="n">
        <v>3</v>
      </c>
      <c r="J7" s="29" t="s">
        <v>107</v>
      </c>
      <c r="K7" s="29" t="s">
        <v>108</v>
      </c>
    </row>
    <row r="8" customFormat="false" ht="15" hidden="false" customHeight="true" outlineLevel="0" collapsed="false">
      <c r="A8" s="48" t="s">
        <v>112</v>
      </c>
      <c r="B8" s="49" t="s">
        <v>113</v>
      </c>
      <c r="C8" s="36" t="s">
        <v>84</v>
      </c>
      <c r="D8" s="44" t="s">
        <v>114</v>
      </c>
      <c r="E8" s="36" t="n">
        <v>1</v>
      </c>
      <c r="F8" s="36" t="n">
        <v>2</v>
      </c>
      <c r="G8" s="36" t="s">
        <v>105</v>
      </c>
      <c r="H8" s="36" t="s">
        <v>115</v>
      </c>
      <c r="I8" s="44" t="n">
        <v>15</v>
      </c>
      <c r="J8" s="36" t="s">
        <v>107</v>
      </c>
      <c r="K8" s="36" t="s">
        <v>108</v>
      </c>
    </row>
    <row r="9" customFormat="false" ht="15" hidden="false" customHeight="true" outlineLevel="0" collapsed="false">
      <c r="A9" s="50" t="s">
        <v>116</v>
      </c>
      <c r="B9" s="51" t="s">
        <v>117</v>
      </c>
      <c r="C9" s="29" t="s">
        <v>84</v>
      </c>
      <c r="D9" s="33" t="s">
        <v>85</v>
      </c>
      <c r="E9" s="29" t="n">
        <v>4</v>
      </c>
      <c r="F9" s="29" t="n">
        <v>1</v>
      </c>
      <c r="G9" s="29" t="s">
        <v>118</v>
      </c>
      <c r="H9" s="29" t="s">
        <v>92</v>
      </c>
      <c r="I9" s="29" t="n">
        <v>0</v>
      </c>
      <c r="J9" s="29" t="s">
        <v>119</v>
      </c>
      <c r="K9" s="2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18"/>
  </cols>
  <sheetData>
    <row r="1" customFormat="false" ht="15" hidden="false" customHeight="true" outlineLevel="0" collapsed="false">
      <c r="A1" s="45" t="s">
        <v>71</v>
      </c>
      <c r="B1" s="45" t="s">
        <v>120</v>
      </c>
      <c r="C1" s="45" t="s">
        <v>121</v>
      </c>
      <c r="D1" s="45" t="s">
        <v>122</v>
      </c>
      <c r="E1" s="45" t="s">
        <v>123</v>
      </c>
      <c r="F1" s="45" t="s">
        <v>124</v>
      </c>
      <c r="G1" s="45" t="s">
        <v>125</v>
      </c>
    </row>
    <row r="2" customFormat="false" ht="15" hidden="false" customHeight="true" outlineLevel="0" collapsed="false">
      <c r="A2" s="48" t="s">
        <v>82</v>
      </c>
      <c r="B2" s="36" t="n">
        <v>1</v>
      </c>
      <c r="C2" s="36" t="s">
        <v>126</v>
      </c>
      <c r="D2" s="33" t="s">
        <v>127</v>
      </c>
      <c r="E2" s="49"/>
      <c r="F2" s="49" t="s">
        <v>128</v>
      </c>
      <c r="G2" s="36" t="s">
        <v>129</v>
      </c>
    </row>
    <row r="3" customFormat="false" ht="15" hidden="false" customHeight="true" outlineLevel="0" collapsed="false">
      <c r="A3" s="50" t="s">
        <v>82</v>
      </c>
      <c r="B3" s="29" t="n">
        <v>1</v>
      </c>
      <c r="C3" s="29" t="s">
        <v>130</v>
      </c>
      <c r="D3" s="33" t="s">
        <v>127</v>
      </c>
      <c r="E3" s="51"/>
      <c r="F3" s="51" t="s">
        <v>131</v>
      </c>
      <c r="G3" s="29" t="s">
        <v>132</v>
      </c>
    </row>
    <row r="4" customFormat="false" ht="15" hidden="false" customHeight="true" outlineLevel="0" collapsed="false">
      <c r="A4" s="48" t="s">
        <v>82</v>
      </c>
      <c r="B4" s="36" t="n">
        <v>1</v>
      </c>
      <c r="C4" s="36" t="s">
        <v>133</v>
      </c>
      <c r="D4" s="33" t="s">
        <v>127</v>
      </c>
      <c r="E4" s="49"/>
      <c r="F4" s="49" t="s">
        <v>134</v>
      </c>
      <c r="G4" s="36" t="s">
        <v>135</v>
      </c>
    </row>
    <row r="5" customFormat="false" ht="15" hidden="false" customHeight="true" outlineLevel="0" collapsed="false">
      <c r="A5" s="50" t="s">
        <v>82</v>
      </c>
      <c r="B5" s="29" t="n">
        <v>1</v>
      </c>
      <c r="C5" s="29" t="s">
        <v>136</v>
      </c>
      <c r="D5" s="33" t="s">
        <v>127</v>
      </c>
      <c r="E5" s="51"/>
      <c r="F5" s="51" t="s">
        <v>137</v>
      </c>
      <c r="G5" s="29" t="s">
        <v>138</v>
      </c>
    </row>
    <row r="6" customFormat="false" ht="15" hidden="false" customHeight="true" outlineLevel="0" collapsed="false">
      <c r="A6" s="48" t="s">
        <v>82</v>
      </c>
      <c r="B6" s="36" t="n">
        <v>2</v>
      </c>
      <c r="C6" s="36" t="s">
        <v>139</v>
      </c>
      <c r="D6" s="33" t="s">
        <v>127</v>
      </c>
      <c r="E6" s="49"/>
      <c r="F6" s="49" t="s">
        <v>140</v>
      </c>
      <c r="G6" s="36" t="s">
        <v>141</v>
      </c>
    </row>
    <row r="7" customFormat="false" ht="15" hidden="false" customHeight="true" outlineLevel="0" collapsed="false">
      <c r="A7" s="50" t="s">
        <v>82</v>
      </c>
      <c r="B7" s="29" t="n">
        <v>2</v>
      </c>
      <c r="C7" s="29" t="s">
        <v>142</v>
      </c>
      <c r="D7" s="33" t="s">
        <v>127</v>
      </c>
      <c r="E7" s="51"/>
      <c r="F7" s="51" t="s">
        <v>143</v>
      </c>
      <c r="G7" s="29" t="s">
        <v>144</v>
      </c>
    </row>
    <row r="8" customFormat="false" ht="15" hidden="false" customHeight="true" outlineLevel="0" collapsed="false">
      <c r="A8" s="48" t="s">
        <v>82</v>
      </c>
      <c r="B8" s="36" t="n">
        <v>2</v>
      </c>
      <c r="C8" s="36" t="s">
        <v>145</v>
      </c>
      <c r="D8" s="33" t="s">
        <v>127</v>
      </c>
      <c r="E8" s="49"/>
      <c r="F8" s="49" t="s">
        <v>146</v>
      </c>
      <c r="G8" s="36" t="s">
        <v>147</v>
      </c>
    </row>
    <row r="9" customFormat="false" ht="15" hidden="false" customHeight="true" outlineLevel="0" collapsed="false">
      <c r="A9" s="50" t="s">
        <v>82</v>
      </c>
      <c r="B9" s="29" t="n">
        <v>2</v>
      </c>
      <c r="C9" s="29" t="s">
        <v>148</v>
      </c>
      <c r="D9" s="33" t="s">
        <v>127</v>
      </c>
      <c r="E9" s="51"/>
      <c r="F9" s="51" t="s">
        <v>149</v>
      </c>
      <c r="G9" s="29" t="s">
        <v>150</v>
      </c>
    </row>
    <row r="10" customFormat="false" ht="15" hidden="false" customHeight="true" outlineLevel="0" collapsed="false">
      <c r="A10" s="48" t="s">
        <v>82</v>
      </c>
      <c r="B10" s="36" t="n">
        <v>3</v>
      </c>
      <c r="C10" s="36" t="s">
        <v>151</v>
      </c>
      <c r="D10" s="33" t="s">
        <v>127</v>
      </c>
      <c r="E10" s="49"/>
      <c r="F10" s="49" t="s">
        <v>152</v>
      </c>
      <c r="G10" s="36" t="s">
        <v>153</v>
      </c>
    </row>
    <row r="11" customFormat="false" ht="15" hidden="false" customHeight="true" outlineLevel="0" collapsed="false">
      <c r="A11" s="50" t="s">
        <v>82</v>
      </c>
      <c r="B11" s="29" t="n">
        <v>3</v>
      </c>
      <c r="C11" s="29" t="s">
        <v>154</v>
      </c>
      <c r="D11" s="44" t="s">
        <v>155</v>
      </c>
      <c r="E11" s="51"/>
      <c r="F11" s="51"/>
      <c r="G11" s="29"/>
    </row>
    <row r="12" customFormat="false" ht="15" hidden="false" customHeight="true" outlineLevel="0" collapsed="false">
      <c r="A12" s="48" t="s">
        <v>90</v>
      </c>
      <c r="B12" s="36" t="n">
        <v>1</v>
      </c>
      <c r="C12" s="36" t="s">
        <v>126</v>
      </c>
      <c r="D12" s="33" t="s">
        <v>127</v>
      </c>
      <c r="E12" s="49"/>
      <c r="F12" s="49" t="s">
        <v>156</v>
      </c>
      <c r="G12" s="36" t="s">
        <v>157</v>
      </c>
    </row>
    <row r="13" customFormat="false" ht="15" hidden="false" customHeight="true" outlineLevel="0" collapsed="false">
      <c r="A13" s="50" t="s">
        <v>90</v>
      </c>
      <c r="B13" s="29" t="n">
        <v>1</v>
      </c>
      <c r="C13" s="29" t="s">
        <v>130</v>
      </c>
      <c r="D13" s="33" t="s">
        <v>127</v>
      </c>
      <c r="E13" s="51"/>
      <c r="F13" s="51" t="s">
        <v>158</v>
      </c>
      <c r="G13" s="29" t="s">
        <v>159</v>
      </c>
    </row>
    <row r="14" customFormat="false" ht="15" hidden="false" customHeight="true" outlineLevel="0" collapsed="false">
      <c r="A14" s="48" t="s">
        <v>90</v>
      </c>
      <c r="B14" s="36" t="n">
        <v>1</v>
      </c>
      <c r="C14" s="36" t="s">
        <v>133</v>
      </c>
      <c r="D14" s="33" t="s">
        <v>127</v>
      </c>
      <c r="E14" s="49"/>
      <c r="F14" s="49" t="s">
        <v>160</v>
      </c>
      <c r="G14" s="36" t="s">
        <v>161</v>
      </c>
    </row>
    <row r="15" customFormat="false" ht="15" hidden="false" customHeight="true" outlineLevel="0" collapsed="false">
      <c r="A15" s="50" t="s">
        <v>90</v>
      </c>
      <c r="B15" s="29" t="n">
        <v>1</v>
      </c>
      <c r="C15" s="29" t="s">
        <v>136</v>
      </c>
      <c r="D15" s="33" t="s">
        <v>127</v>
      </c>
      <c r="E15" s="51"/>
      <c r="F15" s="51" t="s">
        <v>162</v>
      </c>
      <c r="G15" s="29" t="s">
        <v>163</v>
      </c>
    </row>
    <row r="16" customFormat="false" ht="15" hidden="false" customHeight="true" outlineLevel="0" collapsed="false">
      <c r="A16" s="48" t="s">
        <v>90</v>
      </c>
      <c r="B16" s="36" t="n">
        <v>2</v>
      </c>
      <c r="C16" s="36" t="s">
        <v>139</v>
      </c>
      <c r="D16" s="33" t="s">
        <v>127</v>
      </c>
      <c r="E16" s="49"/>
      <c r="F16" s="49" t="s">
        <v>164</v>
      </c>
      <c r="G16" s="36" t="s">
        <v>165</v>
      </c>
    </row>
    <row r="17" customFormat="false" ht="15" hidden="false" customHeight="true" outlineLevel="0" collapsed="false">
      <c r="A17" s="50" t="s">
        <v>90</v>
      </c>
      <c r="B17" s="29" t="n">
        <v>2</v>
      </c>
      <c r="C17" s="29" t="s">
        <v>142</v>
      </c>
      <c r="D17" s="33" t="s">
        <v>127</v>
      </c>
      <c r="E17" s="51"/>
      <c r="F17" s="51" t="s">
        <v>166</v>
      </c>
      <c r="G17" s="29" t="s">
        <v>167</v>
      </c>
    </row>
    <row r="18" customFormat="false" ht="15" hidden="false" customHeight="true" outlineLevel="0" collapsed="false">
      <c r="A18" s="48" t="s">
        <v>90</v>
      </c>
      <c r="B18" s="36" t="n">
        <v>2</v>
      </c>
      <c r="C18" s="36" t="s">
        <v>145</v>
      </c>
      <c r="D18" s="33" t="s">
        <v>127</v>
      </c>
      <c r="E18" s="49"/>
      <c r="F18" s="49" t="s">
        <v>168</v>
      </c>
      <c r="G18" s="36" t="s">
        <v>169</v>
      </c>
    </row>
    <row r="19" customFormat="false" ht="15" hidden="false" customHeight="true" outlineLevel="0" collapsed="false">
      <c r="A19" s="50" t="s">
        <v>90</v>
      </c>
      <c r="B19" s="29" t="n">
        <v>2</v>
      </c>
      <c r="C19" s="29" t="s">
        <v>148</v>
      </c>
      <c r="D19" s="33" t="s">
        <v>127</v>
      </c>
      <c r="E19" s="51"/>
      <c r="F19" s="51" t="s">
        <v>170</v>
      </c>
      <c r="G19" s="29" t="s">
        <v>171</v>
      </c>
    </row>
    <row r="20" customFormat="false" ht="15" hidden="false" customHeight="true" outlineLevel="0" collapsed="false">
      <c r="A20" s="48" t="s">
        <v>90</v>
      </c>
      <c r="B20" s="36" t="n">
        <v>3</v>
      </c>
      <c r="C20" s="36" t="s">
        <v>151</v>
      </c>
      <c r="D20" s="33" t="s">
        <v>127</v>
      </c>
      <c r="E20" s="49"/>
      <c r="F20" s="49" t="s">
        <v>172</v>
      </c>
      <c r="G20" s="36" t="s">
        <v>105</v>
      </c>
    </row>
    <row r="21" customFormat="false" ht="15" hidden="false" customHeight="true" outlineLevel="0" collapsed="false">
      <c r="A21" s="50" t="s">
        <v>90</v>
      </c>
      <c r="B21" s="29" t="n">
        <v>3</v>
      </c>
      <c r="C21" s="29" t="s">
        <v>154</v>
      </c>
      <c r="D21" s="33" t="s">
        <v>127</v>
      </c>
      <c r="E21" s="51"/>
      <c r="F21" s="51" t="s">
        <v>173</v>
      </c>
      <c r="G21" s="29" t="s">
        <v>174</v>
      </c>
    </row>
    <row r="22" customFormat="false" ht="15" hidden="false" customHeight="true" outlineLevel="0" collapsed="false">
      <c r="A22" s="48" t="s">
        <v>90</v>
      </c>
      <c r="B22" s="36" t="n">
        <v>3</v>
      </c>
      <c r="C22" s="36" t="s">
        <v>175</v>
      </c>
      <c r="D22" s="33" t="s">
        <v>127</v>
      </c>
      <c r="E22" s="49"/>
      <c r="F22" s="49" t="s">
        <v>176</v>
      </c>
      <c r="G22" s="36" t="s">
        <v>102</v>
      </c>
    </row>
    <row r="23" customFormat="false" ht="15" hidden="false" customHeight="true" outlineLevel="0" collapsed="false">
      <c r="A23" s="50" t="s">
        <v>90</v>
      </c>
      <c r="B23" s="29" t="n">
        <v>3</v>
      </c>
      <c r="C23" s="29" t="s">
        <v>177</v>
      </c>
      <c r="D23" s="33" t="s">
        <v>127</v>
      </c>
      <c r="E23" s="51"/>
      <c r="F23" s="51" t="s">
        <v>178</v>
      </c>
      <c r="G23" s="29" t="s">
        <v>179</v>
      </c>
    </row>
    <row r="24" customFormat="false" ht="15" hidden="false" customHeight="true" outlineLevel="0" collapsed="false">
      <c r="A24" s="48" t="s">
        <v>103</v>
      </c>
      <c r="B24" s="36" t="n">
        <v>1</v>
      </c>
      <c r="C24" s="36" t="s">
        <v>126</v>
      </c>
      <c r="D24" s="33" t="s">
        <v>127</v>
      </c>
      <c r="E24" s="49"/>
      <c r="F24" s="49" t="s">
        <v>180</v>
      </c>
      <c r="G24" s="36" t="s">
        <v>174</v>
      </c>
    </row>
    <row r="25" customFormat="false" ht="15" hidden="false" customHeight="true" outlineLevel="0" collapsed="false">
      <c r="A25" s="50" t="s">
        <v>103</v>
      </c>
      <c r="B25" s="29" t="n">
        <v>1</v>
      </c>
      <c r="C25" s="29" t="s">
        <v>130</v>
      </c>
      <c r="D25" s="33" t="s">
        <v>127</v>
      </c>
      <c r="E25" s="51"/>
      <c r="F25" s="51" t="s">
        <v>181</v>
      </c>
      <c r="G25" s="29" t="s">
        <v>102</v>
      </c>
    </row>
    <row r="26" customFormat="false" ht="15" hidden="false" customHeight="true" outlineLevel="0" collapsed="false">
      <c r="A26" s="48" t="s">
        <v>103</v>
      </c>
      <c r="B26" s="36" t="n">
        <v>1</v>
      </c>
      <c r="C26" s="36" t="s">
        <v>133</v>
      </c>
      <c r="D26" s="33" t="s">
        <v>127</v>
      </c>
      <c r="E26" s="49"/>
      <c r="F26" s="49" t="s">
        <v>182</v>
      </c>
      <c r="G26" s="36" t="s">
        <v>179</v>
      </c>
    </row>
    <row r="27" customFormat="false" ht="15" hidden="false" customHeight="true" outlineLevel="0" collapsed="false">
      <c r="A27" s="50" t="s">
        <v>103</v>
      </c>
      <c r="B27" s="29" t="n">
        <v>1</v>
      </c>
      <c r="C27" s="29" t="s">
        <v>136</v>
      </c>
      <c r="D27" s="44" t="s">
        <v>155</v>
      </c>
      <c r="E27" s="51"/>
      <c r="F27" s="51"/>
      <c r="G27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15" hidden="false" customHeight="true" outlineLevel="0" collapsed="false">
      <c r="A1" s="52" t="s">
        <v>41</v>
      </c>
      <c r="B1" s="52" t="s">
        <v>183</v>
      </c>
      <c r="C1" s="52" t="s">
        <v>184</v>
      </c>
      <c r="D1" s="52" t="s">
        <v>48</v>
      </c>
      <c r="E1" s="52" t="s">
        <v>185</v>
      </c>
      <c r="F1" s="52" t="s">
        <v>58</v>
      </c>
      <c r="G1" s="52" t="s">
        <v>186</v>
      </c>
      <c r="H1" s="52" t="s">
        <v>187</v>
      </c>
      <c r="I1" s="52" t="s">
        <v>188</v>
      </c>
    </row>
    <row r="2" customFormat="false" ht="15" hidden="false" customHeight="true" outlineLevel="0" collapsed="false">
      <c r="A2" s="53" t="s">
        <v>189</v>
      </c>
      <c r="B2" s="54" t="s">
        <v>190</v>
      </c>
      <c r="C2" s="29" t="n">
        <v>24</v>
      </c>
      <c r="D2" s="29" t="n">
        <v>24</v>
      </c>
      <c r="E2" s="29" t="n">
        <v>0</v>
      </c>
      <c r="F2" s="29" t="n">
        <v>0</v>
      </c>
      <c r="G2" s="55" t="n">
        <f aca="false">IF(C2&gt;0,D2/C2,0)</f>
        <v>1</v>
      </c>
      <c r="H2" s="29" t="s">
        <v>191</v>
      </c>
      <c r="I2" s="33" t="s">
        <v>48</v>
      </c>
    </row>
    <row r="3" customFormat="false" ht="15" hidden="false" customHeight="true" outlineLevel="0" collapsed="false">
      <c r="A3" s="56" t="s">
        <v>192</v>
      </c>
      <c r="B3" s="57" t="s">
        <v>193</v>
      </c>
      <c r="C3" s="36" t="n">
        <v>24</v>
      </c>
      <c r="D3" s="36" t="n">
        <v>24</v>
      </c>
      <c r="E3" s="36" t="n">
        <v>0</v>
      </c>
      <c r="F3" s="36" t="n">
        <v>0</v>
      </c>
      <c r="G3" s="58" t="n">
        <f aca="false">IF(C3&gt;0,D3/C3,0)</f>
        <v>1</v>
      </c>
      <c r="H3" s="36" t="s">
        <v>191</v>
      </c>
      <c r="I3" s="33" t="s">
        <v>48</v>
      </c>
    </row>
    <row r="4" customFormat="false" ht="15" hidden="false" customHeight="true" outlineLevel="0" collapsed="false">
      <c r="A4" s="53" t="s">
        <v>194</v>
      </c>
      <c r="B4" s="54" t="s">
        <v>195</v>
      </c>
      <c r="C4" s="29" t="n">
        <v>24</v>
      </c>
      <c r="D4" s="29" t="n">
        <v>18</v>
      </c>
      <c r="E4" s="29" t="n">
        <v>6</v>
      </c>
      <c r="F4" s="29" t="n">
        <v>0</v>
      </c>
      <c r="G4" s="55" t="n">
        <f aca="false">IF(C4&gt;0,D4/C4,0)</f>
        <v>0.75</v>
      </c>
      <c r="H4" s="29" t="s">
        <v>191</v>
      </c>
      <c r="I4" s="41" t="s">
        <v>196</v>
      </c>
    </row>
    <row r="5" customFormat="false" ht="15" hidden="false" customHeight="true" outlineLevel="0" collapsed="false">
      <c r="A5" s="56" t="s">
        <v>197</v>
      </c>
      <c r="B5" s="57" t="s">
        <v>198</v>
      </c>
      <c r="C5" s="36" t="n">
        <v>24</v>
      </c>
      <c r="D5" s="36" t="n">
        <v>8</v>
      </c>
      <c r="E5" s="36" t="n">
        <v>10</v>
      </c>
      <c r="F5" s="36" t="n">
        <v>6</v>
      </c>
      <c r="G5" s="58" t="n">
        <f aca="false">IF(C5&gt;0,D5/C5,0)</f>
        <v>0.333333333333333</v>
      </c>
      <c r="H5" s="36" t="s">
        <v>199</v>
      </c>
      <c r="I5" s="41" t="s">
        <v>196</v>
      </c>
    </row>
    <row r="6" customFormat="false" ht="15" hidden="false" customHeight="true" outlineLevel="0" collapsed="false">
      <c r="A6" s="53" t="s">
        <v>200</v>
      </c>
      <c r="B6" s="54" t="s">
        <v>201</v>
      </c>
      <c r="C6" s="29" t="n">
        <v>24</v>
      </c>
      <c r="D6" s="29" t="n">
        <v>0</v>
      </c>
      <c r="E6" s="29" t="n">
        <v>12</v>
      </c>
      <c r="F6" s="29" t="n">
        <v>12</v>
      </c>
      <c r="G6" s="55" t="n">
        <f aca="false">IF(C6&gt;0,D6/C6,0)</f>
        <v>0</v>
      </c>
      <c r="H6" s="29" t="s">
        <v>49</v>
      </c>
      <c r="I6" s="41" t="s">
        <v>54</v>
      </c>
    </row>
    <row r="7" customFormat="false" ht="15" hidden="false" customHeight="true" outlineLevel="0" collapsed="false">
      <c r="A7" s="56" t="s">
        <v>202</v>
      </c>
      <c r="B7" s="57" t="s">
        <v>203</v>
      </c>
      <c r="C7" s="36" t="n">
        <v>24</v>
      </c>
      <c r="D7" s="36" t="n">
        <v>0</v>
      </c>
      <c r="E7" s="36" t="n">
        <v>12</v>
      </c>
      <c r="F7" s="36" t="n">
        <v>12</v>
      </c>
      <c r="G7" s="58" t="n">
        <f aca="false">IF(C7&gt;0,D7/C7,0)</f>
        <v>0</v>
      </c>
      <c r="H7" s="36" t="s">
        <v>49</v>
      </c>
      <c r="I7" s="41" t="s">
        <v>54</v>
      </c>
    </row>
    <row r="8" customFormat="false" ht="15" hidden="false" customHeight="true" outlineLevel="0" collapsed="false">
      <c r="A8" s="53" t="s">
        <v>204</v>
      </c>
      <c r="B8" s="54" t="s">
        <v>205</v>
      </c>
      <c r="C8" s="29" t="n">
        <v>24</v>
      </c>
      <c r="D8" s="29" t="n">
        <v>0</v>
      </c>
      <c r="E8" s="29" t="n">
        <v>0</v>
      </c>
      <c r="F8" s="29" t="n">
        <v>24</v>
      </c>
      <c r="G8" s="55" t="n">
        <f aca="false">IF(C8&gt;0,D8/C8,0)</f>
        <v>0</v>
      </c>
      <c r="H8" s="29" t="s">
        <v>49</v>
      </c>
      <c r="I8" s="44" t="s">
        <v>206</v>
      </c>
    </row>
    <row r="9" customFormat="false" ht="15" hidden="false" customHeight="true" outlineLevel="0" collapsed="false">
      <c r="A9" s="56" t="s">
        <v>207</v>
      </c>
      <c r="B9" s="57" t="s">
        <v>208</v>
      </c>
      <c r="C9" s="36" t="n">
        <v>24</v>
      </c>
      <c r="D9" s="36" t="n">
        <v>0</v>
      </c>
      <c r="E9" s="36" t="n">
        <v>0</v>
      </c>
      <c r="F9" s="36" t="n">
        <v>24</v>
      </c>
      <c r="G9" s="58" t="n">
        <f aca="false">IF(C9&gt;0,D9/C9,0)</f>
        <v>0</v>
      </c>
      <c r="H9" s="36" t="s">
        <v>49</v>
      </c>
      <c r="I9" s="44" t="s">
        <v>206</v>
      </c>
    </row>
    <row r="10" customFormat="false" ht="15" hidden="false" customHeight="true" outlineLevel="0" collapsed="false">
      <c r="A10" s="53" t="s">
        <v>209</v>
      </c>
      <c r="B10" s="54" t="s">
        <v>210</v>
      </c>
      <c r="C10" s="29" t="n">
        <v>24</v>
      </c>
      <c r="D10" s="29" t="n">
        <v>0</v>
      </c>
      <c r="E10" s="29" t="n">
        <v>0</v>
      </c>
      <c r="F10" s="29" t="n">
        <v>24</v>
      </c>
      <c r="G10" s="55" t="n">
        <f aca="false">IF(C10&gt;0,D10/C10,0)</f>
        <v>0</v>
      </c>
      <c r="H10" s="29" t="s">
        <v>49</v>
      </c>
      <c r="I10" s="44" t="s">
        <v>206</v>
      </c>
    </row>
    <row r="11" customFormat="false" ht="15" hidden="false" customHeight="true" outlineLevel="0" collapsed="false">
      <c r="A11" s="56" t="s">
        <v>211</v>
      </c>
      <c r="B11" s="57" t="s">
        <v>212</v>
      </c>
      <c r="C11" s="36" t="n">
        <v>24</v>
      </c>
      <c r="D11" s="36" t="n">
        <v>0</v>
      </c>
      <c r="E11" s="36" t="n">
        <v>0</v>
      </c>
      <c r="F11" s="36" t="n">
        <v>24</v>
      </c>
      <c r="G11" s="58" t="n">
        <f aca="false">IF(C11&gt;0,D11/C11,0)</f>
        <v>0</v>
      </c>
      <c r="H11" s="36" t="s">
        <v>49</v>
      </c>
      <c r="I11" s="44" t="s">
        <v>206</v>
      </c>
    </row>
    <row r="12" customFormat="false" ht="15" hidden="false" customHeight="true" outlineLevel="0" collapsed="false">
      <c r="A12" s="53" t="s">
        <v>213</v>
      </c>
      <c r="B12" s="54" t="s">
        <v>214</v>
      </c>
      <c r="C12" s="29" t="n">
        <v>24</v>
      </c>
      <c r="D12" s="29" t="n">
        <v>0</v>
      </c>
      <c r="E12" s="29" t="n">
        <v>0</v>
      </c>
      <c r="F12" s="29" t="n">
        <v>24</v>
      </c>
      <c r="G12" s="55" t="n">
        <f aca="false">IF(C12&gt;0,D12/C12,0)</f>
        <v>0</v>
      </c>
      <c r="H12" s="29" t="s">
        <v>49</v>
      </c>
      <c r="I12" s="44" t="s">
        <v>206</v>
      </c>
    </row>
    <row r="13" customFormat="false" ht="15" hidden="false" customHeight="true" outlineLevel="0" collapsed="false">
      <c r="A13" s="56" t="s">
        <v>215</v>
      </c>
      <c r="B13" s="57" t="s">
        <v>216</v>
      </c>
      <c r="C13" s="36" t="n">
        <v>24</v>
      </c>
      <c r="D13" s="36" t="n">
        <v>0</v>
      </c>
      <c r="E13" s="36" t="n">
        <v>0</v>
      </c>
      <c r="F13" s="36" t="n">
        <v>24</v>
      </c>
      <c r="G13" s="58" t="n">
        <f aca="false">IF(C13&gt;0,D13/C13,0)</f>
        <v>0</v>
      </c>
      <c r="H13" s="36" t="s">
        <v>49</v>
      </c>
      <c r="I13" s="44" t="s">
        <v>206</v>
      </c>
    </row>
    <row r="14" customFormat="false" ht="15" hidden="false" customHeight="true" outlineLevel="0" collapsed="false">
      <c r="A14" s="4" t="s">
        <v>217</v>
      </c>
      <c r="B14" s="59"/>
      <c r="C14" s="60" t="n">
        <f aca="false">SUM(C2:C13)</f>
        <v>288</v>
      </c>
      <c r="D14" s="60" t="n">
        <f aca="false">SUM(D2:D13)</f>
        <v>74</v>
      </c>
      <c r="E14" s="60" t="n">
        <f aca="false">SUM(E2:E13)</f>
        <v>40</v>
      </c>
      <c r="F14" s="60" t="n">
        <f aca="false">SUM(F2:F13)</f>
        <v>174</v>
      </c>
      <c r="G14" s="61" t="n">
        <f aca="false">IF(C14&gt;0,D14/C14,0)</f>
        <v>0.256944444444444</v>
      </c>
      <c r="H14" s="59"/>
      <c r="I14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36"/>
  </cols>
  <sheetData>
    <row r="1" customFormat="false" ht="15" hidden="false" customHeight="true" outlineLevel="0" collapsed="false">
      <c r="A1" s="62" t="s">
        <v>218</v>
      </c>
      <c r="B1" s="62" t="s">
        <v>219</v>
      </c>
      <c r="C1" s="62" t="s">
        <v>220</v>
      </c>
      <c r="D1" s="62" t="s">
        <v>221</v>
      </c>
      <c r="E1" s="62" t="s">
        <v>222</v>
      </c>
      <c r="F1" s="62" t="s">
        <v>223</v>
      </c>
    </row>
    <row r="2" customFormat="false" ht="24" hidden="false" customHeight="true" outlineLevel="0" collapsed="false">
      <c r="A2" s="63" t="s">
        <v>224</v>
      </c>
      <c r="B2" s="49" t="s">
        <v>71</v>
      </c>
      <c r="C2" s="49" t="s">
        <v>225</v>
      </c>
      <c r="D2" s="49" t="s">
        <v>224</v>
      </c>
      <c r="E2" s="49" t="s">
        <v>226</v>
      </c>
      <c r="F2" s="64" t="s">
        <v>227</v>
      </c>
    </row>
    <row r="3" customFormat="false" ht="24" hidden="false" customHeight="true" outlineLevel="0" collapsed="false">
      <c r="A3" s="65" t="s">
        <v>224</v>
      </c>
      <c r="B3" s="51" t="s">
        <v>73</v>
      </c>
      <c r="C3" s="51" t="s">
        <v>225</v>
      </c>
      <c r="D3" s="51" t="s">
        <v>224</v>
      </c>
      <c r="E3" s="51" t="s">
        <v>228</v>
      </c>
      <c r="F3" s="66" t="s">
        <v>229</v>
      </c>
    </row>
    <row r="4" customFormat="false" ht="24" hidden="false" customHeight="true" outlineLevel="0" collapsed="false">
      <c r="A4" s="63" t="s">
        <v>224</v>
      </c>
      <c r="B4" s="49" t="s">
        <v>74</v>
      </c>
      <c r="C4" s="49" t="s">
        <v>230</v>
      </c>
      <c r="D4" s="49" t="s">
        <v>224</v>
      </c>
      <c r="E4" s="49" t="s">
        <v>231</v>
      </c>
      <c r="F4" s="64" t="s">
        <v>232</v>
      </c>
    </row>
    <row r="5" customFormat="false" ht="24" hidden="false" customHeight="true" outlineLevel="0" collapsed="false">
      <c r="A5" s="65" t="s">
        <v>224</v>
      </c>
      <c r="B5" s="51" t="s">
        <v>75</v>
      </c>
      <c r="C5" s="51" t="s">
        <v>233</v>
      </c>
      <c r="D5" s="51" t="s">
        <v>224</v>
      </c>
      <c r="E5" s="51" t="s">
        <v>234</v>
      </c>
      <c r="F5" s="66" t="s">
        <v>235</v>
      </c>
    </row>
    <row r="6" customFormat="false" ht="24" hidden="false" customHeight="true" outlineLevel="0" collapsed="false">
      <c r="A6" s="63" t="s">
        <v>224</v>
      </c>
      <c r="B6" s="49" t="s">
        <v>76</v>
      </c>
      <c r="C6" s="49" t="s">
        <v>233</v>
      </c>
      <c r="D6" s="49" t="s">
        <v>224</v>
      </c>
      <c r="E6" s="49" t="s">
        <v>236</v>
      </c>
      <c r="F6" s="64" t="s">
        <v>237</v>
      </c>
    </row>
    <row r="7" customFormat="false" ht="24" hidden="false" customHeight="true" outlineLevel="0" collapsed="false">
      <c r="A7" s="65" t="s">
        <v>224</v>
      </c>
      <c r="B7" s="51" t="s">
        <v>78</v>
      </c>
      <c r="C7" s="51" t="s">
        <v>238</v>
      </c>
      <c r="D7" s="51" t="s">
        <v>224</v>
      </c>
      <c r="E7" s="51" t="s">
        <v>239</v>
      </c>
      <c r="F7" s="66" t="s">
        <v>240</v>
      </c>
    </row>
    <row r="8" customFormat="false" ht="24" hidden="false" customHeight="true" outlineLevel="0" collapsed="false">
      <c r="A8" s="63" t="s">
        <v>241</v>
      </c>
      <c r="B8" s="49" t="s">
        <v>79</v>
      </c>
      <c r="C8" s="49" t="s">
        <v>242</v>
      </c>
      <c r="D8" s="49" t="s">
        <v>243</v>
      </c>
      <c r="E8" s="49" t="s">
        <v>244</v>
      </c>
      <c r="F8" s="64" t="s">
        <v>245</v>
      </c>
    </row>
    <row r="9" customFormat="false" ht="24" hidden="false" customHeight="true" outlineLevel="0" collapsed="false">
      <c r="A9" s="65" t="s">
        <v>241</v>
      </c>
      <c r="B9" s="51" t="s">
        <v>80</v>
      </c>
      <c r="C9" s="51" t="s">
        <v>246</v>
      </c>
      <c r="D9" s="51" t="s">
        <v>247</v>
      </c>
      <c r="E9" s="51" t="s">
        <v>248</v>
      </c>
      <c r="F9" s="66" t="s">
        <v>249</v>
      </c>
    </row>
    <row r="10" customFormat="false" ht="24" hidden="false" customHeight="true" outlineLevel="0" collapsed="false">
      <c r="A10" s="63" t="s">
        <v>250</v>
      </c>
      <c r="B10" s="49" t="s">
        <v>251</v>
      </c>
      <c r="C10" s="49" t="s">
        <v>252</v>
      </c>
      <c r="D10" s="49" t="s">
        <v>253</v>
      </c>
      <c r="E10" s="49" t="s">
        <v>254</v>
      </c>
      <c r="F10" s="64" t="s">
        <v>255</v>
      </c>
    </row>
    <row r="11" customFormat="false" ht="24" hidden="false" customHeight="true" outlineLevel="0" collapsed="false">
      <c r="A11" s="65" t="s">
        <v>250</v>
      </c>
      <c r="B11" s="51" t="s">
        <v>256</v>
      </c>
      <c r="C11" s="51" t="s">
        <v>257</v>
      </c>
      <c r="D11" s="51" t="s">
        <v>258</v>
      </c>
      <c r="E11" s="51" t="s">
        <v>259</v>
      </c>
      <c r="F11" s="66" t="s">
        <v>260</v>
      </c>
    </row>
    <row r="12" customFormat="false" ht="24" hidden="false" customHeight="true" outlineLevel="0" collapsed="false">
      <c r="A12" s="63" t="s">
        <v>250</v>
      </c>
      <c r="B12" s="49" t="s">
        <v>261</v>
      </c>
      <c r="C12" s="49" t="s">
        <v>262</v>
      </c>
      <c r="D12" s="49" t="s">
        <v>253</v>
      </c>
      <c r="E12" s="49" t="s">
        <v>263</v>
      </c>
      <c r="F12" s="64" t="s">
        <v>264</v>
      </c>
    </row>
    <row r="13" customFormat="false" ht="24" hidden="false" customHeight="true" outlineLevel="0" collapsed="false">
      <c r="A13" s="65" t="s">
        <v>265</v>
      </c>
      <c r="B13" s="51" t="s">
        <v>266</v>
      </c>
      <c r="C13" s="51" t="s">
        <v>225</v>
      </c>
      <c r="D13" s="51" t="s">
        <v>267</v>
      </c>
      <c r="E13" s="51" t="s">
        <v>268</v>
      </c>
      <c r="F13" s="66" t="s">
        <v>269</v>
      </c>
    </row>
    <row r="14" customFormat="false" ht="24" hidden="false" customHeight="true" outlineLevel="0" collapsed="false">
      <c r="A14" s="63" t="s">
        <v>265</v>
      </c>
      <c r="B14" s="49" t="s">
        <v>270</v>
      </c>
      <c r="C14" s="49" t="s">
        <v>225</v>
      </c>
      <c r="D14" s="49" t="s">
        <v>267</v>
      </c>
      <c r="E14" s="49" t="s">
        <v>268</v>
      </c>
      <c r="F14" s="6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2026-02-09T05:31:15Z</dcterms:created>
  <dc:creator>openpyxl</dc:creator>
  <dc:description/>
  <dc:language>en-US</dc:language>
  <cp:lastModifiedBy/>
  <dcterms:modified xsi:type="dcterms:W3CDTF">2026-02-09T05:31:53Z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